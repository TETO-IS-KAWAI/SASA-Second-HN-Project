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a\OneDrive\바탕 화면\2-2\인자탐 2학년\"/>
    </mc:Choice>
  </mc:AlternateContent>
  <xr:revisionPtr revIDLastSave="0" documentId="13_ncr:1_{D60DC551-01B2-41B6-B656-E6FE963249E1}" xr6:coauthVersionLast="36" xr6:coauthVersionMax="36" xr10:uidLastSave="{00000000-0000-0000-0000-000000000000}"/>
  <bookViews>
    <workbookView xWindow="0" yWindow="0" windowWidth="28800" windowHeight="10980" xr2:uid="{A5F82DD2-0167-4DDC-AF8B-99F676B58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R12" i="1"/>
  <c r="Q12" i="1"/>
  <c r="L12" i="1" l="1"/>
  <c r="F24" i="1"/>
  <c r="E12" i="1"/>
  <c r="F12" i="1"/>
  <c r="L24" i="1"/>
  <c r="K24" i="1"/>
  <c r="K12" i="1"/>
  <c r="R10" i="1" l="1"/>
  <c r="R9" i="1"/>
  <c r="R8" i="1"/>
  <c r="R7" i="1"/>
  <c r="R6" i="1"/>
  <c r="R5" i="1"/>
  <c r="R4" i="1"/>
  <c r="R3" i="1"/>
  <c r="R2" i="1"/>
  <c r="L10" i="1"/>
  <c r="L9" i="1"/>
  <c r="L8" i="1"/>
  <c r="L7" i="1"/>
  <c r="L6" i="1"/>
  <c r="L5" i="1"/>
  <c r="L4" i="1"/>
  <c r="L3" i="1"/>
  <c r="L2" i="1"/>
  <c r="L22" i="1"/>
  <c r="L21" i="1"/>
  <c r="L20" i="1"/>
  <c r="L19" i="1"/>
  <c r="L18" i="1"/>
  <c r="L17" i="1"/>
  <c r="L16" i="1"/>
  <c r="L15" i="1"/>
  <c r="L14" i="1"/>
  <c r="F22" i="1"/>
  <c r="F21" i="1"/>
  <c r="F20" i="1"/>
  <c r="F19" i="1"/>
  <c r="F18" i="1"/>
  <c r="F17" i="1"/>
  <c r="F16" i="1"/>
  <c r="F15" i="1"/>
  <c r="F14" i="1"/>
  <c r="F10" i="1"/>
  <c r="F9" i="1"/>
  <c r="F8" i="1"/>
  <c r="F7" i="1"/>
  <c r="F6" i="1"/>
  <c r="F4" i="1"/>
  <c r="F5" i="1"/>
  <c r="F3" i="1"/>
  <c r="F2" i="1"/>
</calcChain>
</file>

<file path=xl/sharedStrings.xml><?xml version="1.0" encoding="utf-8"?>
<sst xmlns="http://schemas.openxmlformats.org/spreadsheetml/2006/main" count="111" uniqueCount="70">
  <si>
    <t>first-2</t>
    <phoneticPr fontId="1" type="noConversion"/>
  </si>
  <si>
    <t>Cluster 0</t>
  </si>
  <si>
    <t>Cluster 1</t>
  </si>
  <si>
    <t>(np.uint8(27), np.uint8(74), np.uint8(61))</t>
  </si>
  <si>
    <t>first-3</t>
    <phoneticPr fontId="1" type="noConversion"/>
  </si>
  <si>
    <t>first-4</t>
    <phoneticPr fontId="1" type="noConversion"/>
  </si>
  <si>
    <t>second-2</t>
    <phoneticPr fontId="1" type="noConversion"/>
  </si>
  <si>
    <t>third-2</t>
    <phoneticPr fontId="1" type="noConversion"/>
  </si>
  <si>
    <t>fourth-2</t>
    <phoneticPr fontId="1" type="noConversion"/>
  </si>
  <si>
    <t>(np.uint8(16), np.uint8(50), np.uint8(42))</t>
  </si>
  <si>
    <t>(np.uint8(95), np.uint8(205), np.uint8(178))</t>
  </si>
  <si>
    <t>Cluster 2</t>
  </si>
  <si>
    <t>(np.uint8(52), np.uint8(136), np.uint8(112))</t>
  </si>
  <si>
    <t>(np.uint8(34), np.uint8(56), np.uint8(49))</t>
  </si>
  <si>
    <t>(np.uint8(87), np.uint8(133), np.uint8(122))</t>
  </si>
  <si>
    <t>(np.uint8(142), np.uint8(207), np.uint8(192))</t>
  </si>
  <si>
    <t>(np.uint8(62), np.uint8(184), np.uint8(151))</t>
  </si>
  <si>
    <t>(np.uint8(12), np.uint8(43), np.uint8(35))</t>
  </si>
  <si>
    <t>(np.uint8(49), np.uint8(114), np.uint8(96))</t>
  </si>
  <si>
    <t>Cluster 3</t>
  </si>
  <si>
    <t>(np.uint8(124), np.uint8(215), np.uint8(193))</t>
  </si>
  <si>
    <t>(np.uint8(60), np.uint8(91), np.uint8(82))</t>
  </si>
  <si>
    <t>(np.uint8(129), np.uint8(178), np.uint8(155))</t>
  </si>
  <si>
    <t>(np.uint8(46), np.uint8(70), np.uint8(66))</t>
  </si>
  <si>
    <t>(np.uint8(139), np.uint8(187), np.uint8(164))</t>
  </si>
  <si>
    <t>(np.uint8(90), np.uint8(137), np.uint8(118))</t>
  </si>
  <si>
    <t>(np.uint8(100), np.uint8(169), np.uint8(143))</t>
  </si>
  <si>
    <t>(np.uint8(41), np.uint8(64), np.uint8(60))</t>
  </si>
  <si>
    <t>(np.uint8(150), np.uint8(189), np.uint8(167))</t>
  </si>
  <si>
    <t>(np.uint8(83), np.uint8(115), np.uint8(104))</t>
  </si>
  <si>
    <t>(np.uint8(101), np.uint8(161), np.uint8(146))</t>
  </si>
  <si>
    <t>(np.uint8(25), np.uint8(46), np.uint8(39))</t>
  </si>
  <si>
    <t>(np.uint8(152), np.uint8(215), np.uint8(201))</t>
  </si>
  <si>
    <t>(np.uint8(68), np.uint8(99), np.uint8(90))</t>
  </si>
  <si>
    <t>(np.uint8(32), np.uint8(84), np.uint8(72))</t>
  </si>
  <si>
    <t>(np.uint8(87), np.uint8(184), np.uint8(167))</t>
  </si>
  <si>
    <t>(np.uint8(55), np.uint8(133), np.uint8(113))</t>
  </si>
  <si>
    <t>(np.uint8(98), np.uint8(199), np.uint8(184))</t>
  </si>
  <si>
    <t>(np.uint8(20), np.uint8(56), np.uint8(50))</t>
  </si>
  <si>
    <t>(np.uint8(56), np.uint8(127), np.uint8(107))</t>
  </si>
  <si>
    <t>(np.uint8(18), np.uint8(53), np.uint8(48))</t>
  </si>
  <si>
    <t>(np.uint8(61), np.uint8(192), np.uint8(175))</t>
  </si>
  <si>
    <t>(np.uint8(144), np.uint8(201), np.uint8(187))</t>
  </si>
  <si>
    <t>(np.uint8(67), np.uint8(80), np.uint8(81))</t>
  </si>
  <si>
    <t>(np.uint8(119), np.uint8(183), np.uint8(177))</t>
  </si>
  <si>
    <t>(np.uint8(96), np.uint8(127), np.uint8(122))</t>
  </si>
  <si>
    <t>(np.uint8(51), np.uint8(61), np.uint8(63))</t>
  </si>
  <si>
    <t>(np.uint8(126), np.uint8(201), np.uint8(196))</t>
  </si>
  <si>
    <t>(np.uint8(124), np.uint8(184), np.uint8(169))</t>
  </si>
  <si>
    <t>(np.uint8(45), np.uint8(71), np.uint8(63))</t>
  </si>
  <si>
    <t>fifth-2</t>
    <phoneticPr fontId="1" type="noConversion"/>
  </si>
  <si>
    <t>fifth-3</t>
    <phoneticPr fontId="1" type="noConversion"/>
  </si>
  <si>
    <t>(np.uint8(103), np.uint8(156), np.uint8(146))</t>
  </si>
  <si>
    <t>(np.uint8(36), np.uint8(48), np.uint8(51))</t>
  </si>
  <si>
    <t>(np.uint8(85), np.uint8(96), np.uint8(96))</t>
  </si>
  <si>
    <t>(np.uint8(132), np.uint8(208), np.uint8(206))</t>
  </si>
  <si>
    <t>second-3</t>
    <phoneticPr fontId="1" type="noConversion"/>
  </si>
  <si>
    <t>second-4</t>
    <phoneticPr fontId="1" type="noConversion"/>
  </si>
  <si>
    <t>third-3</t>
    <phoneticPr fontId="1" type="noConversion"/>
  </si>
  <si>
    <t>third-4</t>
    <phoneticPr fontId="1" type="noConversion"/>
  </si>
  <si>
    <t>fourth-3</t>
    <phoneticPr fontId="1" type="noConversion"/>
  </si>
  <si>
    <t>fourth-4</t>
    <phoneticPr fontId="1" type="noConversion"/>
  </si>
  <si>
    <t>fifth-4</t>
    <phoneticPr fontId="1" type="noConversion"/>
  </si>
  <si>
    <t>(np.uint8(82), np.uint8(188), np.uint8(160))</t>
    <phoneticPr fontId="1" type="noConversion"/>
  </si>
  <si>
    <t>(1번)</t>
    <phoneticPr fontId="1" type="noConversion"/>
  </si>
  <si>
    <t>(2번)</t>
    <phoneticPr fontId="1" type="noConversion"/>
  </si>
  <si>
    <t>(3번)</t>
    <phoneticPr fontId="1" type="noConversion"/>
  </si>
  <si>
    <t>(4번)</t>
    <phoneticPr fontId="1" type="noConversion"/>
  </si>
  <si>
    <t>(5번)</t>
    <phoneticPr fontId="1" type="noConversion"/>
  </si>
  <si>
    <t>2-1-3-4-5 순서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</si>
</sst>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52BCA0"/>
        <bgColor indexed="64"/>
      </patternFill>
    </fill>
    <fill>
      <patternFill patternType="solid">
        <fgColor rgb="FF1B4A3D"/>
        <bgColor indexed="64"/>
      </patternFill>
    </fill>
    <fill>
      <patternFill patternType="solid">
        <fgColor rgb="FF10322A"/>
        <bgColor indexed="64"/>
      </patternFill>
    </fill>
    <fill>
      <patternFill patternType="solid">
        <fgColor rgb="FF5FCDB2"/>
        <bgColor indexed="64"/>
      </patternFill>
    </fill>
    <fill>
      <patternFill patternType="solid">
        <fgColor rgb="FF348870"/>
        <bgColor indexed="64"/>
      </patternFill>
    </fill>
    <fill>
      <patternFill patternType="solid">
        <fgColor rgb="FF3EB897"/>
        <bgColor indexed="64"/>
      </patternFill>
    </fill>
    <fill>
      <patternFill patternType="solid">
        <fgColor rgb="FF0C2B23"/>
        <bgColor indexed="64"/>
      </patternFill>
    </fill>
    <fill>
      <patternFill patternType="solid">
        <fgColor rgb="FF317260"/>
        <bgColor indexed="64"/>
      </patternFill>
    </fill>
    <fill>
      <patternFill patternType="solid">
        <fgColor rgb="FF7CD7C1"/>
        <bgColor indexed="64"/>
      </patternFill>
    </fill>
    <fill>
      <patternFill patternType="solid">
        <fgColor rgb="FF205448"/>
        <bgColor indexed="64"/>
      </patternFill>
    </fill>
    <fill>
      <patternFill patternType="solid">
        <fgColor rgb="FF57B8A7"/>
        <bgColor indexed="64"/>
      </patternFill>
    </fill>
    <fill>
      <patternFill patternType="solid">
        <fgColor rgb="FF378571"/>
        <bgColor indexed="64"/>
      </patternFill>
    </fill>
    <fill>
      <patternFill patternType="solid">
        <fgColor rgb="FF62C7B8"/>
        <bgColor indexed="64"/>
      </patternFill>
    </fill>
    <fill>
      <patternFill patternType="solid">
        <fgColor rgb="FF143832"/>
        <bgColor indexed="64"/>
      </patternFill>
    </fill>
    <fill>
      <patternFill patternType="solid">
        <fgColor rgb="FF387F6B"/>
        <bgColor indexed="64"/>
      </patternFill>
    </fill>
    <fill>
      <patternFill patternType="solid">
        <fgColor rgb="FF123530"/>
        <bgColor indexed="64"/>
      </patternFill>
    </fill>
    <fill>
      <patternFill patternType="solid">
        <fgColor rgb="FF3DC0AF"/>
        <bgColor indexed="64"/>
      </patternFill>
    </fill>
    <fill>
      <patternFill patternType="solid">
        <fgColor rgb="FF90C9BB"/>
        <bgColor indexed="64"/>
      </patternFill>
    </fill>
    <fill>
      <patternFill patternType="solid">
        <fgColor rgb="FF3C5B52"/>
        <bgColor indexed="64"/>
      </patternFill>
    </fill>
    <fill>
      <patternFill patternType="solid">
        <fgColor rgb="FF81B29B"/>
        <bgColor indexed="64"/>
      </patternFill>
    </fill>
    <fill>
      <patternFill patternType="solid">
        <fgColor rgb="FF2E4642"/>
        <bgColor indexed="64"/>
      </patternFill>
    </fill>
    <fill>
      <patternFill patternType="solid">
        <fgColor rgb="FF8BBBA4"/>
        <bgColor indexed="64"/>
      </patternFill>
    </fill>
    <fill>
      <patternFill patternType="solid">
        <fgColor rgb="FF5A8976"/>
        <bgColor indexed="64"/>
      </patternFill>
    </fill>
    <fill>
      <patternFill patternType="solid">
        <fgColor rgb="FF64A98F"/>
        <bgColor indexed="64"/>
      </patternFill>
    </fill>
    <fill>
      <patternFill patternType="solid">
        <fgColor rgb="FF29403C"/>
        <bgColor indexed="64"/>
      </patternFill>
    </fill>
    <fill>
      <patternFill patternType="solid">
        <fgColor rgb="FF96BDA7"/>
        <bgColor indexed="64"/>
      </patternFill>
    </fill>
    <fill>
      <patternFill patternType="solid">
        <fgColor rgb="FF537368"/>
        <bgColor indexed="64"/>
      </patternFill>
    </fill>
    <fill>
      <patternFill patternType="solid">
        <fgColor rgb="FF435051"/>
        <bgColor indexed="64"/>
      </patternFill>
    </fill>
    <fill>
      <patternFill patternType="solid">
        <fgColor rgb="FF77B7B1"/>
        <bgColor indexed="64"/>
      </patternFill>
    </fill>
    <fill>
      <patternFill patternType="solid">
        <fgColor rgb="FF607F7A"/>
        <bgColor indexed="64"/>
      </patternFill>
    </fill>
    <fill>
      <patternFill patternType="solid">
        <fgColor rgb="FF333D3F"/>
        <bgColor indexed="64"/>
      </patternFill>
    </fill>
    <fill>
      <patternFill patternType="solid">
        <fgColor rgb="FF7EC9C4"/>
        <bgColor indexed="64"/>
      </patternFill>
    </fill>
    <fill>
      <patternFill patternType="solid">
        <fgColor rgb="FF679C92"/>
        <bgColor indexed="64"/>
      </patternFill>
    </fill>
    <fill>
      <patternFill patternType="solid">
        <fgColor rgb="FF243033"/>
        <bgColor indexed="64"/>
      </patternFill>
    </fill>
    <fill>
      <patternFill patternType="solid">
        <fgColor rgb="FF556060"/>
        <bgColor indexed="64"/>
      </patternFill>
    </fill>
    <fill>
      <patternFill patternType="solid">
        <fgColor rgb="FF84D0CE"/>
        <bgColor indexed="64"/>
      </patternFill>
    </fill>
    <fill>
      <patternFill patternType="solid">
        <fgColor rgb="FF7CB8A9"/>
        <bgColor indexed="64"/>
      </patternFill>
    </fill>
    <fill>
      <patternFill patternType="solid">
        <fgColor rgb="FF2D473F"/>
        <bgColor indexed="64"/>
      </patternFill>
    </fill>
    <fill>
      <patternFill patternType="solid">
        <fgColor rgb="FF223831"/>
        <bgColor indexed="64"/>
      </patternFill>
    </fill>
    <fill>
      <patternFill patternType="solid">
        <fgColor rgb="FF57857A"/>
        <bgColor indexed="64"/>
      </patternFill>
    </fill>
    <fill>
      <patternFill patternType="solid">
        <fgColor rgb="FF8ECFC0"/>
        <bgColor indexed="64"/>
      </patternFill>
    </fill>
    <fill>
      <patternFill patternType="solid">
        <fgColor rgb="FF65A192"/>
        <bgColor indexed="64"/>
      </patternFill>
    </fill>
    <fill>
      <patternFill patternType="solid">
        <fgColor rgb="FF192E27"/>
        <bgColor indexed="64"/>
      </patternFill>
    </fill>
    <fill>
      <patternFill patternType="solid">
        <fgColor rgb="FF98D7C9"/>
        <bgColor indexed="64"/>
      </patternFill>
    </fill>
    <fill>
      <patternFill patternType="solid">
        <fgColor rgb="FF44635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2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2" fillId="5" borderId="0" xfId="0" applyFont="1" applyFill="1" applyBorder="1">
      <alignment vertical="center"/>
    </xf>
    <xf numFmtId="0" fontId="2" fillId="7" borderId="0" xfId="0" applyFont="1" applyFill="1" applyBorder="1">
      <alignment vertical="center"/>
    </xf>
    <xf numFmtId="0" fontId="2" fillId="8" borderId="0" xfId="0" applyFont="1" applyFill="1" applyBorder="1">
      <alignment vertical="center"/>
    </xf>
    <xf numFmtId="0" fontId="2" fillId="9" borderId="0" xfId="0" applyFont="1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10" borderId="7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2" fillId="14" borderId="0" xfId="0" applyFont="1" applyFill="1" applyBorder="1">
      <alignment vertical="center"/>
    </xf>
    <xf numFmtId="0" fontId="2" fillId="16" borderId="0" xfId="0" applyFont="1" applyFill="1" applyBorder="1">
      <alignment vertical="center"/>
    </xf>
    <xf numFmtId="0" fontId="2" fillId="17" borderId="0" xfId="0" applyFont="1" applyFill="1" applyBorder="1">
      <alignment vertical="center"/>
    </xf>
    <xf numFmtId="0" fontId="2" fillId="18" borderId="0" xfId="0" applyFont="1" applyFill="1" applyBorder="1">
      <alignment vertical="center"/>
    </xf>
    <xf numFmtId="0" fontId="2" fillId="19" borderId="7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5" xfId="0" applyFill="1" applyBorder="1">
      <alignment vertical="center"/>
    </xf>
    <xf numFmtId="0" fontId="2" fillId="30" borderId="0" xfId="0" applyFont="1" applyFill="1" applyBorder="1">
      <alignment vertical="center"/>
    </xf>
    <xf numFmtId="0" fontId="2" fillId="32" borderId="0" xfId="0" applyFont="1" applyFill="1" applyBorder="1">
      <alignment vertical="center"/>
    </xf>
    <xf numFmtId="0" fontId="2" fillId="34" borderId="0" xfId="0" applyFont="1" applyFill="1" applyBorder="1">
      <alignment vertical="center"/>
    </xf>
    <xf numFmtId="0" fontId="2" fillId="35" borderId="0" xfId="0" applyFont="1" applyFill="1" applyBorder="1">
      <alignment vertical="center"/>
    </xf>
    <xf numFmtId="0" fontId="2" fillId="36" borderId="0" xfId="0" applyFont="1" applyFill="1" applyBorder="1">
      <alignment vertical="center"/>
    </xf>
    <xf numFmtId="0" fontId="2" fillId="37" borderId="7" xfId="0" applyFont="1" applyFill="1" applyBorder="1">
      <alignment vertical="center"/>
    </xf>
    <xf numFmtId="0" fontId="2" fillId="39" borderId="0" xfId="0" applyFont="1" applyFill="1" applyBorder="1">
      <alignment vertical="center"/>
    </xf>
    <xf numFmtId="0" fontId="2" fillId="41" borderId="0" xfId="0" applyFont="1" applyFill="1" applyBorder="1">
      <alignment vertical="center"/>
    </xf>
    <xf numFmtId="0" fontId="2" fillId="43" borderId="0" xfId="0" applyFont="1" applyFill="1" applyBorder="1">
      <alignment vertical="center"/>
    </xf>
    <xf numFmtId="0" fontId="2" fillId="44" borderId="0" xfId="0" applyFont="1" applyFill="1" applyBorder="1">
      <alignment vertical="center"/>
    </xf>
    <xf numFmtId="0" fontId="2" fillId="45" borderId="0" xfId="0" applyFont="1" applyFill="1" applyBorder="1">
      <alignment vertical="center"/>
    </xf>
    <xf numFmtId="0" fontId="2" fillId="46" borderId="7" xfId="0" applyFont="1" applyFill="1" applyBorder="1">
      <alignment vertical="center"/>
    </xf>
    <xf numFmtId="0" fontId="2" fillId="21" borderId="0" xfId="0" applyFont="1" applyFill="1" applyBorder="1">
      <alignment vertical="center"/>
    </xf>
    <xf numFmtId="0" fontId="2" fillId="23" borderId="0" xfId="0" applyFont="1" applyFill="1" applyBorder="1">
      <alignment vertical="center"/>
    </xf>
    <xf numFmtId="0" fontId="2" fillId="25" borderId="0" xfId="0" applyFont="1" applyFill="1" applyBorder="1">
      <alignment vertical="center"/>
    </xf>
    <xf numFmtId="0" fontId="2" fillId="26" borderId="0" xfId="0" applyFont="1" applyFill="1" applyBorder="1">
      <alignment vertical="center"/>
    </xf>
    <xf numFmtId="0" fontId="2" fillId="27" borderId="0" xfId="0" applyFont="1" applyFill="1" applyBorder="1">
      <alignment vertical="center"/>
    </xf>
    <xf numFmtId="0" fontId="2" fillId="28" borderId="7" xfId="0" applyFont="1" applyFill="1" applyBorder="1">
      <alignment vertical="center"/>
    </xf>
    <xf numFmtId="0" fontId="2" fillId="11" borderId="2" xfId="0" applyFont="1" applyFill="1" applyBorder="1">
      <alignment vertical="center"/>
    </xf>
    <xf numFmtId="0" fontId="2" fillId="20" borderId="2" xfId="0" applyFont="1" applyFill="1" applyBorder="1">
      <alignment vertical="center"/>
    </xf>
    <xf numFmtId="0" fontId="2" fillId="29" borderId="2" xfId="0" applyFont="1" applyFill="1" applyBorder="1">
      <alignment vertical="center"/>
    </xf>
    <xf numFmtId="0" fontId="2" fillId="38" borderId="2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3" borderId="7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6" borderId="7" xfId="0" applyFont="1" applyFill="1" applyBorder="1">
      <alignment vertical="center"/>
    </xf>
    <xf numFmtId="0" fontId="2" fillId="12" borderId="7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8" xfId="0" applyFill="1" applyBorder="1">
      <alignment vertical="center"/>
    </xf>
    <xf numFmtId="0" fontId="2" fillId="13" borderId="2" xfId="0" applyFon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7" xfId="0" applyFill="1" applyBorder="1">
      <alignment vertical="center"/>
    </xf>
    <xf numFmtId="0" fontId="2" fillId="15" borderId="7" xfId="0" applyFont="1" applyFill="1" applyBorder="1">
      <alignment vertical="center"/>
    </xf>
    <xf numFmtId="0" fontId="2" fillId="31" borderId="2" xfId="0" applyFont="1" applyFill="1" applyBorder="1">
      <alignment vertical="center"/>
    </xf>
    <xf numFmtId="0" fontId="2" fillId="33" borderId="7" xfId="0" applyFont="1" applyFill="1" applyBorder="1">
      <alignment vertical="center"/>
    </xf>
    <xf numFmtId="0" fontId="2" fillId="22" borderId="2" xfId="0" applyFont="1" applyFill="1" applyBorder="1">
      <alignment vertical="center"/>
    </xf>
    <xf numFmtId="0" fontId="2" fillId="24" borderId="7" xfId="0" applyFont="1" applyFill="1" applyBorder="1">
      <alignment vertical="center"/>
    </xf>
    <xf numFmtId="0" fontId="2" fillId="40" borderId="2" xfId="0" applyFont="1" applyFill="1" applyBorder="1">
      <alignment vertical="center"/>
    </xf>
    <xf numFmtId="0" fontId="2" fillId="42" borderId="7" xfId="0" applyFont="1" applyFill="1" applyBorder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537368"/>
      <color rgb="FF96BDA7"/>
      <color rgb="FF29403C"/>
      <color rgb="FF64A98F"/>
      <color rgb="FF5A8976"/>
      <color rgb="FF8BBBA4"/>
      <color rgb="FF2E4642"/>
      <color rgb="FF81B29B"/>
      <color rgb="FF3C5B52"/>
      <color rgb="FF90C9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Lux</a:t>
            </a:r>
            <a:r>
              <a:rPr lang="en-US" altLang="ko-KR" baseline="0"/>
              <a:t> - Relative Cover Graph - Natural Logarithm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-0.22420822397200349"/>
                  <c:y val="-2.7070209973753281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Sheet1!$E$32:$E$36</c:f>
              <c:numCache>
                <c:formatCode>General</c:formatCode>
                <c:ptCount val="5"/>
                <c:pt idx="0">
                  <c:v>37791.97</c:v>
                </c:pt>
                <c:pt idx="1">
                  <c:v>26959.03</c:v>
                </c:pt>
                <c:pt idx="2">
                  <c:v>19180.990000000002</c:v>
                </c:pt>
                <c:pt idx="3">
                  <c:v>18298.98</c:v>
                </c:pt>
                <c:pt idx="4">
                  <c:v>9522.02</c:v>
                </c:pt>
              </c:numCache>
            </c:numRef>
          </c:xVal>
          <c:yVal>
            <c:numRef>
              <c:f>Sheet1!$F$32:$F$36</c:f>
              <c:numCache>
                <c:formatCode>General</c:formatCode>
                <c:ptCount val="5"/>
                <c:pt idx="0">
                  <c:v>0.49911181640625002</c:v>
                </c:pt>
                <c:pt idx="1">
                  <c:v>0.47480962083073314</c:v>
                </c:pt>
                <c:pt idx="2">
                  <c:v>0.49152568359375004</c:v>
                </c:pt>
                <c:pt idx="3">
                  <c:v>0.47927978515625003</c:v>
                </c:pt>
                <c:pt idx="4">
                  <c:v>0.42282310060493938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1-45DF-AC39-6E679BE50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359407"/>
        <c:axId val="884738735"/>
      </c:scatterChart>
      <c:valAx>
        <c:axId val="646359407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Lux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4738735"/>
        <c:crosses val="autoZero"/>
        <c:crossBetween val="midCat"/>
      </c:valAx>
      <c:valAx>
        <c:axId val="884738735"/>
        <c:scaling>
          <c:orientation val="minMax"/>
          <c:max val="0.53"/>
          <c:min val="0.39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Relative</a:t>
                </a:r>
                <a:r>
                  <a:rPr lang="en-US" altLang="ko-KR" baseline="0"/>
                  <a:t> Cover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635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Lux</a:t>
            </a:r>
            <a:r>
              <a:rPr lang="en-US" altLang="ko-KR" baseline="0"/>
              <a:t> - Relative Cover Graph - Linear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76273157845931"/>
                  <c:y val="0.337681772103385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Sheet1!$E$32:$E$36</c:f>
              <c:numCache>
                <c:formatCode>General</c:formatCode>
                <c:ptCount val="5"/>
                <c:pt idx="0">
                  <c:v>37791.97</c:v>
                </c:pt>
                <c:pt idx="1">
                  <c:v>26959.03</c:v>
                </c:pt>
                <c:pt idx="2">
                  <c:v>19180.990000000002</c:v>
                </c:pt>
                <c:pt idx="3">
                  <c:v>18298.98</c:v>
                </c:pt>
                <c:pt idx="4">
                  <c:v>9522.02</c:v>
                </c:pt>
              </c:numCache>
            </c:numRef>
          </c:xVal>
          <c:yVal>
            <c:numRef>
              <c:f>Sheet1!$F$32:$F$36</c:f>
              <c:numCache>
                <c:formatCode>General</c:formatCode>
                <c:ptCount val="5"/>
                <c:pt idx="0">
                  <c:v>0.49911181640625002</c:v>
                </c:pt>
                <c:pt idx="1">
                  <c:v>0.47480962083073314</c:v>
                </c:pt>
                <c:pt idx="2">
                  <c:v>0.49152568359375004</c:v>
                </c:pt>
                <c:pt idx="3">
                  <c:v>0.47927978515625003</c:v>
                </c:pt>
                <c:pt idx="4">
                  <c:v>0.42282310060493938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2-40D1-B45E-0704017D5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31455"/>
        <c:axId val="644166207"/>
      </c:scatterChart>
      <c:valAx>
        <c:axId val="884331455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Lux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4166207"/>
        <c:crosses val="autoZero"/>
        <c:crossBetween val="midCat"/>
      </c:valAx>
      <c:valAx>
        <c:axId val="644166207"/>
        <c:scaling>
          <c:orientation val="minMax"/>
          <c:min val="0.39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Relative Cover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433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12</xdr:row>
      <xdr:rowOff>208429</xdr:rowOff>
    </xdr:from>
    <xdr:to>
      <xdr:col>17</xdr:col>
      <xdr:colOff>0</xdr:colOff>
      <xdr:row>26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48B0CE4-F183-4DB8-B5E2-912971982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25</xdr:row>
      <xdr:rowOff>208429</xdr:rowOff>
    </xdr:from>
    <xdr:to>
      <xdr:col>17</xdr:col>
      <xdr:colOff>383</xdr:colOff>
      <xdr:row>39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7E6AA16-1774-4C89-AD9E-2758AA11B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5F1A-D9DC-474C-8975-1F39AEFA018F}">
  <dimension ref="B1:R36"/>
  <sheetViews>
    <sheetView tabSelected="1" topLeftCell="K16" zoomScale="145" zoomScaleNormal="145" workbookViewId="0">
      <selection activeCell="T32" sqref="T32"/>
    </sheetView>
  </sheetViews>
  <sheetFormatPr defaultRowHeight="16.5" x14ac:dyDescent="0.3"/>
  <cols>
    <col min="2" max="2" width="9.875" bestFit="1" customWidth="1"/>
    <col min="4" max="4" width="40.625" customWidth="1"/>
    <col min="10" max="10" width="40.625" customWidth="1"/>
    <col min="16" max="16" width="40.625" customWidth="1"/>
  </cols>
  <sheetData>
    <row r="1" spans="2:18" x14ac:dyDescent="0.3">
      <c r="B1" t="s">
        <v>66</v>
      </c>
      <c r="H1" t="s">
        <v>68</v>
      </c>
      <c r="N1" t="s">
        <v>67</v>
      </c>
    </row>
    <row r="2" spans="2:18" x14ac:dyDescent="0.3">
      <c r="B2" s="1" t="s">
        <v>0</v>
      </c>
      <c r="C2" s="2" t="s">
        <v>1</v>
      </c>
      <c r="D2" s="3" t="s">
        <v>63</v>
      </c>
      <c r="E2" s="2">
        <v>5754031</v>
      </c>
      <c r="F2" s="4">
        <f>E2/(E2+E3)</f>
        <v>0.56191708984375</v>
      </c>
      <c r="H2" s="16" t="s">
        <v>6</v>
      </c>
      <c r="I2" s="2" t="s">
        <v>1</v>
      </c>
      <c r="J2" s="44" t="s">
        <v>21</v>
      </c>
      <c r="K2" s="2">
        <v>3984331</v>
      </c>
      <c r="L2" s="4">
        <f>K2/(K2+K3)</f>
        <v>0.38909482421875002</v>
      </c>
      <c r="N2" s="16" t="s">
        <v>7</v>
      </c>
      <c r="O2" s="2" t="s">
        <v>1</v>
      </c>
      <c r="P2" s="46" t="s">
        <v>48</v>
      </c>
      <c r="Q2" s="2">
        <v>4927107</v>
      </c>
      <c r="R2" s="4">
        <f>Q2/(Q2+Q3)</f>
        <v>0.48116279296874997</v>
      </c>
    </row>
    <row r="3" spans="2:18" x14ac:dyDescent="0.3">
      <c r="B3" s="12"/>
      <c r="C3" s="13" t="s">
        <v>2</v>
      </c>
      <c r="D3" s="49" t="s">
        <v>3</v>
      </c>
      <c r="E3" s="13">
        <v>4485969</v>
      </c>
      <c r="F3" s="15">
        <f>E3/(E2+E3)</f>
        <v>0.43808291015625</v>
      </c>
      <c r="H3" s="5"/>
      <c r="I3" s="6" t="s">
        <v>2</v>
      </c>
      <c r="J3" s="37" t="s">
        <v>22</v>
      </c>
      <c r="K3" s="6">
        <v>6255669</v>
      </c>
      <c r="L3" s="7">
        <f>K3/(K2+K3)</f>
        <v>0.61090517578125003</v>
      </c>
      <c r="N3" s="5"/>
      <c r="O3" s="6" t="s">
        <v>2</v>
      </c>
      <c r="P3" s="31" t="s">
        <v>49</v>
      </c>
      <c r="Q3" s="6">
        <v>5312893</v>
      </c>
      <c r="R3" s="7">
        <f>Q3/(Q2+Q3)</f>
        <v>0.51883720703125003</v>
      </c>
    </row>
    <row r="4" spans="2:18" x14ac:dyDescent="0.3">
      <c r="B4" s="16" t="s">
        <v>4</v>
      </c>
      <c r="C4" s="2" t="s">
        <v>1</v>
      </c>
      <c r="D4" s="50" t="s">
        <v>9</v>
      </c>
      <c r="E4" s="2">
        <v>2810652</v>
      </c>
      <c r="F4" s="4">
        <f>E4/SUM(E4:E6)</f>
        <v>0.274477734375</v>
      </c>
      <c r="H4" s="16" t="s">
        <v>56</v>
      </c>
      <c r="I4" s="2" t="s">
        <v>1</v>
      </c>
      <c r="J4" s="63" t="s">
        <v>23</v>
      </c>
      <c r="K4" s="2">
        <v>2370190</v>
      </c>
      <c r="L4" s="4">
        <f>K4/SUM(K4:K6)</f>
        <v>0.23146386718750001</v>
      </c>
      <c r="N4" s="16" t="s">
        <v>58</v>
      </c>
      <c r="O4" s="2" t="s">
        <v>1</v>
      </c>
      <c r="P4" s="65" t="s">
        <v>13</v>
      </c>
      <c r="Q4" s="2">
        <v>3810641</v>
      </c>
      <c r="R4" s="4">
        <f>Q4/SUM(Q4:Q6)</f>
        <v>0.37213291015625</v>
      </c>
    </row>
    <row r="5" spans="2:18" x14ac:dyDescent="0.3">
      <c r="B5" s="5"/>
      <c r="C5" s="6" t="s">
        <v>2</v>
      </c>
      <c r="D5" s="8" t="s">
        <v>10</v>
      </c>
      <c r="E5" s="6">
        <v>3747681</v>
      </c>
      <c r="F5" s="7">
        <f>E5/SUM(E4:E6)</f>
        <v>0.36598447265625</v>
      </c>
      <c r="H5" s="5"/>
      <c r="I5" s="6" t="s">
        <v>2</v>
      </c>
      <c r="J5" s="38" t="s">
        <v>24</v>
      </c>
      <c r="K5" s="6">
        <v>4666955</v>
      </c>
      <c r="L5" s="7">
        <f>K5/SUM(K4:K6)</f>
        <v>0.45575732421874998</v>
      </c>
      <c r="M5" s="67"/>
      <c r="N5" s="5"/>
      <c r="O5" s="6" t="s">
        <v>2</v>
      </c>
      <c r="P5" s="32" t="s">
        <v>14</v>
      </c>
      <c r="Q5" s="6">
        <v>3482193</v>
      </c>
      <c r="R5" s="7">
        <f>Q5/SUM(Q4:Q6)</f>
        <v>0.34005791015624998</v>
      </c>
    </row>
    <row r="6" spans="2:18" x14ac:dyDescent="0.3">
      <c r="B6" s="12"/>
      <c r="C6" s="13" t="s">
        <v>11</v>
      </c>
      <c r="D6" s="51" t="s">
        <v>12</v>
      </c>
      <c r="E6" s="13">
        <v>3681667</v>
      </c>
      <c r="F6" s="15">
        <f>E6/SUM(E4:E6)</f>
        <v>0.35953779296874999</v>
      </c>
      <c r="H6" s="12"/>
      <c r="I6" s="13" t="s">
        <v>11</v>
      </c>
      <c r="J6" s="64" t="s">
        <v>25</v>
      </c>
      <c r="K6" s="13">
        <v>3202855</v>
      </c>
      <c r="L6" s="15">
        <f>K6/SUM(K4:K6)</f>
        <v>0.31277880859375001</v>
      </c>
      <c r="N6" s="12"/>
      <c r="O6" s="13" t="s">
        <v>11</v>
      </c>
      <c r="P6" s="66" t="s">
        <v>15</v>
      </c>
      <c r="Q6" s="13">
        <v>2947166</v>
      </c>
      <c r="R6" s="15">
        <f>Q6/SUM(Q4:Q6)</f>
        <v>0.28780917968750003</v>
      </c>
    </row>
    <row r="7" spans="2:18" x14ac:dyDescent="0.3">
      <c r="B7" s="5" t="s">
        <v>5</v>
      </c>
      <c r="C7" s="6" t="s">
        <v>1</v>
      </c>
      <c r="D7" s="9" t="s">
        <v>16</v>
      </c>
      <c r="E7" s="6">
        <v>3219549</v>
      </c>
      <c r="F7" s="7">
        <f>E7/SUM(E7:E10)</f>
        <v>0.31440908203125001</v>
      </c>
      <c r="H7" s="5" t="s">
        <v>57</v>
      </c>
      <c r="I7" s="6" t="s">
        <v>1</v>
      </c>
      <c r="J7" s="39" t="s">
        <v>26</v>
      </c>
      <c r="K7" s="6">
        <v>2527757</v>
      </c>
      <c r="L7" s="7">
        <f>K7/SUM(K7:K10)</f>
        <v>0.24685126953125</v>
      </c>
      <c r="N7" s="5" t="s">
        <v>59</v>
      </c>
      <c r="O7" s="6" t="s">
        <v>1</v>
      </c>
      <c r="P7" s="33" t="s">
        <v>30</v>
      </c>
      <c r="Q7" s="6">
        <v>2697958</v>
      </c>
      <c r="R7" s="7">
        <f>Q7/SUM(Q7:Q10)</f>
        <v>0.26347246093749999</v>
      </c>
    </row>
    <row r="8" spans="2:18" x14ac:dyDescent="0.3">
      <c r="B8" s="5"/>
      <c r="C8" s="6" t="s">
        <v>2</v>
      </c>
      <c r="D8" s="10" t="s">
        <v>17</v>
      </c>
      <c r="E8" s="6">
        <v>2327330</v>
      </c>
      <c r="F8" s="7">
        <f>E8/SUM(E7:E10)</f>
        <v>0.2272783203125</v>
      </c>
      <c r="H8" s="5"/>
      <c r="I8" s="6" t="s">
        <v>2</v>
      </c>
      <c r="J8" s="40" t="s">
        <v>27</v>
      </c>
      <c r="K8" s="6">
        <v>1877277</v>
      </c>
      <c r="L8" s="7">
        <f>K8/SUM(K7:K10)</f>
        <v>0.18332783203125</v>
      </c>
      <c r="N8" s="5"/>
      <c r="O8" s="6" t="s">
        <v>2</v>
      </c>
      <c r="P8" s="34" t="s">
        <v>31</v>
      </c>
      <c r="Q8" s="6">
        <v>2759222</v>
      </c>
      <c r="R8" s="7">
        <f>Q8/SUM(Q7:Q10)</f>
        <v>0.26945527343749998</v>
      </c>
    </row>
    <row r="9" spans="2:18" x14ac:dyDescent="0.3">
      <c r="B9" s="5"/>
      <c r="C9" s="6" t="s">
        <v>11</v>
      </c>
      <c r="D9" s="11" t="s">
        <v>18</v>
      </c>
      <c r="E9" s="6">
        <v>2879447</v>
      </c>
      <c r="F9" s="7">
        <f>E9/SUM(E7:E10)</f>
        <v>0.28119599609375001</v>
      </c>
      <c r="H9" s="5"/>
      <c r="I9" s="6" t="s">
        <v>11</v>
      </c>
      <c r="J9" s="41" t="s">
        <v>28</v>
      </c>
      <c r="K9" s="6">
        <v>3450528</v>
      </c>
      <c r="L9" s="7">
        <f>K9/SUM(K7:K10)</f>
        <v>0.33696562499999999</v>
      </c>
      <c r="M9" s="67"/>
      <c r="N9" s="5"/>
      <c r="O9" s="6" t="s">
        <v>11</v>
      </c>
      <c r="P9" s="35" t="s">
        <v>32</v>
      </c>
      <c r="Q9" s="6">
        <v>2148603</v>
      </c>
      <c r="R9" s="7">
        <f>Q9/SUM(Q7:Q10)</f>
        <v>0.20982451171875</v>
      </c>
    </row>
    <row r="10" spans="2:18" x14ac:dyDescent="0.3">
      <c r="B10" s="12"/>
      <c r="C10" s="13" t="s">
        <v>19</v>
      </c>
      <c r="D10" s="14" t="s">
        <v>20</v>
      </c>
      <c r="E10" s="13">
        <v>1813674</v>
      </c>
      <c r="F10" s="15">
        <f>E10/SUM(E7:E10)</f>
        <v>0.1771166015625</v>
      </c>
      <c r="H10" s="12"/>
      <c r="I10" s="13" t="s">
        <v>19</v>
      </c>
      <c r="J10" s="42" t="s">
        <v>29</v>
      </c>
      <c r="K10" s="13">
        <v>2384438</v>
      </c>
      <c r="L10" s="15">
        <f>K10/SUM(K7:K10)</f>
        <v>0.23285527343750001</v>
      </c>
      <c r="N10" s="12"/>
      <c r="O10" s="13" t="s">
        <v>19</v>
      </c>
      <c r="P10" s="36" t="s">
        <v>33</v>
      </c>
      <c r="Q10" s="13">
        <v>2634217</v>
      </c>
      <c r="R10" s="15">
        <f>Q10/SUM(Q7:Q10)</f>
        <v>0.25724775390624999</v>
      </c>
    </row>
    <row r="12" spans="2:18" x14ac:dyDescent="0.3">
      <c r="E12" s="47">
        <f>(F8+F9)/SUM(F7:F10)</f>
        <v>0.50847431640624996</v>
      </c>
      <c r="F12" s="48">
        <f>(F7+F10)/(F7+F9+F10+F8)</f>
        <v>0.49152568359375004</v>
      </c>
      <c r="K12" s="47">
        <f>L9/(L9+L7)</f>
        <v>0.57717689939506067</v>
      </c>
      <c r="L12" s="48">
        <f>L7/(L9+L7)</f>
        <v>0.42282310060493938</v>
      </c>
      <c r="Q12">
        <f>(R10+R7)/SUM(R7:R10)</f>
        <v>0.52072021484375008</v>
      </c>
      <c r="R12">
        <f>(R8+R9)/SUM(R7:R10)</f>
        <v>0.47927978515625003</v>
      </c>
    </row>
    <row r="13" spans="2:18" x14ac:dyDescent="0.3">
      <c r="B13" t="s">
        <v>65</v>
      </c>
      <c r="H13" t="s">
        <v>64</v>
      </c>
    </row>
    <row r="14" spans="2:18" x14ac:dyDescent="0.3">
      <c r="B14" s="16" t="s">
        <v>8</v>
      </c>
      <c r="C14" s="2" t="s">
        <v>1</v>
      </c>
      <c r="D14" s="43" t="s">
        <v>34</v>
      </c>
      <c r="E14" s="2">
        <v>4920579</v>
      </c>
      <c r="F14" s="4">
        <f>E14/(E14+E15)</f>
        <v>0.48052529296875002</v>
      </c>
      <c r="H14" s="16" t="s">
        <v>50</v>
      </c>
      <c r="I14" s="2" t="s">
        <v>1</v>
      </c>
      <c r="J14" s="45" t="s">
        <v>43</v>
      </c>
      <c r="K14" s="2">
        <v>5528720</v>
      </c>
      <c r="L14" s="4">
        <f>K14/(K14+K15)</f>
        <v>0.53991406249999996</v>
      </c>
    </row>
    <row r="15" spans="2:18" x14ac:dyDescent="0.3">
      <c r="B15" s="12"/>
      <c r="C15" s="13" t="s">
        <v>2</v>
      </c>
      <c r="D15" s="52" t="s">
        <v>35</v>
      </c>
      <c r="E15" s="13">
        <v>5319421</v>
      </c>
      <c r="F15" s="15">
        <f>E15/(E14+E15)</f>
        <v>0.51947470703124998</v>
      </c>
      <c r="H15" s="5"/>
      <c r="I15" s="6" t="s">
        <v>2</v>
      </c>
      <c r="J15" s="25" t="s">
        <v>44</v>
      </c>
      <c r="K15" s="6">
        <v>4711280</v>
      </c>
      <c r="L15" s="7">
        <f>K15/(K14+K15)</f>
        <v>0.46008593749999999</v>
      </c>
    </row>
    <row r="16" spans="2:18" x14ac:dyDescent="0.3">
      <c r="B16" s="53" t="s">
        <v>60</v>
      </c>
      <c r="C16" s="58" t="s">
        <v>1</v>
      </c>
      <c r="D16" s="57" t="s">
        <v>36</v>
      </c>
      <c r="E16" s="58">
        <v>3967644</v>
      </c>
      <c r="F16" s="54">
        <f>E16/SUM(E16:E18)</f>
        <v>0.38746523437500002</v>
      </c>
      <c r="H16" s="16" t="s">
        <v>51</v>
      </c>
      <c r="I16" s="2" t="s">
        <v>1</v>
      </c>
      <c r="J16" s="61" t="s">
        <v>45</v>
      </c>
      <c r="K16" s="2">
        <v>3840745</v>
      </c>
      <c r="L16" s="4">
        <f>K16/SUM(K16:K18)</f>
        <v>0.37507275390625</v>
      </c>
    </row>
    <row r="17" spans="2:12" x14ac:dyDescent="0.3">
      <c r="B17" s="22"/>
      <c r="C17" s="23" t="s">
        <v>2</v>
      </c>
      <c r="D17" s="17" t="s">
        <v>37</v>
      </c>
      <c r="E17" s="23">
        <v>3561773</v>
      </c>
      <c r="F17" s="24">
        <f>E17/SUM(E16:E18)</f>
        <v>0.34782939453125</v>
      </c>
      <c r="H17" s="5"/>
      <c r="I17" s="6" t="s">
        <v>2</v>
      </c>
      <c r="J17" s="26" t="s">
        <v>46</v>
      </c>
      <c r="K17" s="6">
        <v>3295023</v>
      </c>
      <c r="L17" s="7">
        <f>K17/SUM(K16:K18)</f>
        <v>0.32177958984374999</v>
      </c>
    </row>
    <row r="18" spans="2:12" x14ac:dyDescent="0.3">
      <c r="B18" s="55"/>
      <c r="C18" s="59" t="s">
        <v>11</v>
      </c>
      <c r="D18" s="60" t="s">
        <v>38</v>
      </c>
      <c r="E18" s="59">
        <v>2710583</v>
      </c>
      <c r="F18" s="56">
        <f>E18/SUM(E16:E18)</f>
        <v>0.26470537109374997</v>
      </c>
      <c r="H18" s="12"/>
      <c r="I18" s="13" t="s">
        <v>11</v>
      </c>
      <c r="J18" s="62" t="s">
        <v>47</v>
      </c>
      <c r="K18" s="13">
        <v>3104232</v>
      </c>
      <c r="L18" s="15">
        <f>K18/SUM(K16:K18)</f>
        <v>0.30314765625000001</v>
      </c>
    </row>
    <row r="19" spans="2:12" x14ac:dyDescent="0.3">
      <c r="B19" s="5" t="s">
        <v>61</v>
      </c>
      <c r="C19" s="6" t="s">
        <v>1</v>
      </c>
      <c r="D19" s="18" t="s">
        <v>39</v>
      </c>
      <c r="E19" s="6">
        <v>3660277</v>
      </c>
      <c r="F19" s="7">
        <f>E19/SUM(E19:E22)</f>
        <v>0.35744892578124998</v>
      </c>
      <c r="H19" s="5" t="s">
        <v>62</v>
      </c>
      <c r="I19" s="6" t="s">
        <v>1</v>
      </c>
      <c r="J19" s="27" t="s">
        <v>52</v>
      </c>
      <c r="K19" s="6">
        <v>2630791</v>
      </c>
      <c r="L19" s="7">
        <f>K19/SUM(K19:K22)</f>
        <v>0.25691318359374998</v>
      </c>
    </row>
    <row r="20" spans="2:12" x14ac:dyDescent="0.3">
      <c r="B20" s="5"/>
      <c r="C20" s="6" t="s">
        <v>2</v>
      </c>
      <c r="D20" s="19" t="s">
        <v>40</v>
      </c>
      <c r="E20" s="6">
        <v>2544387</v>
      </c>
      <c r="F20" s="7">
        <f>E20/SUM(E19:E22)</f>
        <v>0.24847529296875001</v>
      </c>
      <c r="H20" s="5"/>
      <c r="I20" s="6" t="s">
        <v>2</v>
      </c>
      <c r="J20" s="28" t="s">
        <v>53</v>
      </c>
      <c r="K20" s="6">
        <v>2013430</v>
      </c>
      <c r="L20" s="7">
        <f>K20/SUM(K19:K22)</f>
        <v>0.19662402343749999</v>
      </c>
    </row>
    <row r="21" spans="2:12" x14ac:dyDescent="0.3">
      <c r="B21" s="5"/>
      <c r="C21" s="6" t="s">
        <v>11</v>
      </c>
      <c r="D21" s="20" t="s">
        <v>41</v>
      </c>
      <c r="E21" s="6">
        <v>2566518</v>
      </c>
      <c r="F21" s="7">
        <f>E21/SUM(E19:E22)</f>
        <v>0.25063652343749998</v>
      </c>
      <c r="H21" s="5"/>
      <c r="I21" s="6" t="s">
        <v>11</v>
      </c>
      <c r="J21" s="29" t="s">
        <v>54</v>
      </c>
      <c r="K21" s="6">
        <v>3217356</v>
      </c>
      <c r="L21" s="7">
        <f>K21/SUM(K19:K22)</f>
        <v>0.31419492187499998</v>
      </c>
    </row>
    <row r="22" spans="2:12" x14ac:dyDescent="0.3">
      <c r="B22" s="12"/>
      <c r="C22" s="13" t="s">
        <v>19</v>
      </c>
      <c r="D22" s="21" t="s">
        <v>42</v>
      </c>
      <c r="E22" s="13">
        <v>1468818</v>
      </c>
      <c r="F22" s="15">
        <f>E22/SUM(E19:E22)</f>
        <v>0.1434392578125</v>
      </c>
      <c r="H22" s="12"/>
      <c r="I22" s="13" t="s">
        <v>19</v>
      </c>
      <c r="J22" s="30" t="s">
        <v>55</v>
      </c>
      <c r="K22" s="13">
        <v>2378423</v>
      </c>
      <c r="L22" s="15">
        <f>K22/SUM(K19:K22)</f>
        <v>0.23226787109374999</v>
      </c>
    </row>
    <row r="24" spans="2:12" x14ac:dyDescent="0.3">
      <c r="E24" s="47">
        <f>(F22+F19)/(F22+F19+F21+F20)</f>
        <v>0.50088818359374998</v>
      </c>
      <c r="F24" s="48">
        <f>(F21+F20)/(F19+F20+F22+F21)</f>
        <v>0.49911181640625002</v>
      </c>
      <c r="K24" s="47">
        <f>L19/(L19+L22)</f>
        <v>0.52519037916926692</v>
      </c>
      <c r="L24" s="48">
        <f>L22/(L22+L19)</f>
        <v>0.47480962083073314</v>
      </c>
    </row>
    <row r="26" spans="2:12" x14ac:dyDescent="0.3">
      <c r="D26" t="s">
        <v>69</v>
      </c>
      <c r="E26">
        <v>0.66649596334950834</v>
      </c>
      <c r="F26">
        <v>0.33350403665049166</v>
      </c>
      <c r="G26">
        <v>37791.97</v>
      </c>
    </row>
    <row r="27" spans="2:12" x14ac:dyDescent="0.3">
      <c r="E27">
        <v>0.52519037916926692</v>
      </c>
      <c r="F27">
        <v>0.47480962083073314</v>
      </c>
      <c r="G27">
        <v>26959.03</v>
      </c>
    </row>
    <row r="28" spans="2:12" x14ac:dyDescent="0.3">
      <c r="E28">
        <v>0.3639033347782733</v>
      </c>
      <c r="F28">
        <v>0.63609666522172681</v>
      </c>
      <c r="G28">
        <v>19180.990000000002</v>
      </c>
    </row>
    <row r="29" spans="2:12" x14ac:dyDescent="0.3">
      <c r="E29">
        <v>0.52072021484375008</v>
      </c>
      <c r="F29">
        <v>0.47927978515625003</v>
      </c>
      <c r="G29">
        <v>18298.98</v>
      </c>
    </row>
    <row r="30" spans="2:12" x14ac:dyDescent="0.3">
      <c r="E30">
        <v>0.57717689939506067</v>
      </c>
      <c r="F30">
        <v>0.42282310060493938</v>
      </c>
      <c r="G30">
        <v>9522.02</v>
      </c>
    </row>
    <row r="32" spans="2:12" x14ac:dyDescent="0.3">
      <c r="E32">
        <v>37791.97</v>
      </c>
      <c r="F32">
        <v>0.49911181640625002</v>
      </c>
    </row>
    <row r="33" spans="5:6" x14ac:dyDescent="0.3">
      <c r="E33">
        <v>26959.03</v>
      </c>
      <c r="F33">
        <v>0.47480962083073314</v>
      </c>
    </row>
    <row r="34" spans="5:6" x14ac:dyDescent="0.3">
      <c r="E34">
        <v>19180.990000000002</v>
      </c>
      <c r="F34">
        <v>0.49152568359375004</v>
      </c>
    </row>
    <row r="35" spans="5:6" x14ac:dyDescent="0.3">
      <c r="E35">
        <v>18298.98</v>
      </c>
      <c r="F35">
        <v>0.47927978515625003</v>
      </c>
    </row>
    <row r="36" spans="5:6" x14ac:dyDescent="0.3">
      <c r="E36">
        <v>9522.02</v>
      </c>
      <c r="F36">
        <v>0.42282310060493938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katias</dc:creator>
  <cp:lastModifiedBy>katias</cp:lastModifiedBy>
  <dcterms:created xsi:type="dcterms:W3CDTF">2025-10-01T01:22:41Z</dcterms:created>
  <dcterms:modified xsi:type="dcterms:W3CDTF">2025-10-01T05:27:50Z</dcterms:modified>
</cp:coreProperties>
</file>