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966c79f3d4ba288/바탕 화면/"/>
    </mc:Choice>
  </mc:AlternateContent>
  <xr:revisionPtr revIDLastSave="0" documentId="8_{E25624C8-179A-4AC2-8665-AC843929BA4F}" xr6:coauthVersionLast="47" xr6:coauthVersionMax="47" xr10:uidLastSave="{00000000-0000-0000-0000-000000000000}"/>
  <bookViews>
    <workbookView xWindow="-110" yWindow="-110" windowWidth="25820" windowHeight="15500" xr2:uid="{A5F82DD2-0167-4DDC-AF8B-99F676B58E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" l="1"/>
  <c r="F9" i="1"/>
  <c r="F8" i="1"/>
  <c r="F7" i="1"/>
  <c r="F6" i="1"/>
  <c r="F4" i="1"/>
  <c r="F5" i="1"/>
  <c r="F3" i="1"/>
  <c r="F2" i="1"/>
</calcChain>
</file>

<file path=xl/sharedStrings.xml><?xml version="1.0" encoding="utf-8"?>
<sst xmlns="http://schemas.openxmlformats.org/spreadsheetml/2006/main" count="105" uniqueCount="64">
  <si>
    <t>first-2</t>
    <phoneticPr fontId="1" type="noConversion"/>
  </si>
  <si>
    <t>Cluster 0</t>
  </si>
  <si>
    <t>Cluster 1</t>
  </si>
  <si>
    <t>(np.uint8(27), np.uint8(74), np.uint8(61))</t>
  </si>
  <si>
    <t>first-3</t>
    <phoneticPr fontId="1" type="noConversion"/>
  </si>
  <si>
    <t>first-4</t>
    <phoneticPr fontId="1" type="noConversion"/>
  </si>
  <si>
    <t>second-2</t>
    <phoneticPr fontId="1" type="noConversion"/>
  </si>
  <si>
    <t>third-2</t>
    <phoneticPr fontId="1" type="noConversion"/>
  </si>
  <si>
    <t>fourth-2</t>
    <phoneticPr fontId="1" type="noConversion"/>
  </si>
  <si>
    <t>(np.uint8(16), np.uint8(50), np.uint8(42))</t>
  </si>
  <si>
    <t>(np.uint8(95), np.uint8(205), np.uint8(178))</t>
  </si>
  <si>
    <t>Cluster 2</t>
  </si>
  <si>
    <t>(np.uint8(52), np.uint8(136), np.uint8(112))</t>
  </si>
  <si>
    <t>(np.uint8(34), np.uint8(56), np.uint8(49))</t>
  </si>
  <si>
    <t>(np.uint8(87), np.uint8(133), np.uint8(122))</t>
  </si>
  <si>
    <t>(np.uint8(142), np.uint8(207), np.uint8(192))</t>
  </si>
  <si>
    <t>(np.uint8(62), np.uint8(184), np.uint8(151))</t>
  </si>
  <si>
    <t>(np.uint8(12), np.uint8(43), np.uint8(35))</t>
  </si>
  <si>
    <t>(np.uint8(49), np.uint8(114), np.uint8(96))</t>
  </si>
  <si>
    <t>Cluster 3</t>
  </si>
  <si>
    <t>(np.uint8(124), np.uint8(215), np.uint8(193))</t>
  </si>
  <si>
    <t>(np.uint8(60), np.uint8(91), np.uint8(82))</t>
  </si>
  <si>
    <t>(np.uint8(129), np.uint8(178), np.uint8(155))</t>
  </si>
  <si>
    <t>(np.uint8(46), np.uint8(70), np.uint8(66))</t>
  </si>
  <si>
    <t>(np.uint8(139), np.uint8(187), np.uint8(164))</t>
  </si>
  <si>
    <t>(np.uint8(90), np.uint8(137), np.uint8(118))</t>
  </si>
  <si>
    <t>(np.uint8(100), np.uint8(169), np.uint8(143))</t>
  </si>
  <si>
    <t>(np.uint8(41), np.uint8(64), np.uint8(60))</t>
  </si>
  <si>
    <t>(np.uint8(150), np.uint8(189), np.uint8(167))</t>
  </si>
  <si>
    <t>(np.uint8(83), np.uint8(115), np.uint8(104))</t>
  </si>
  <si>
    <t>(np.uint8(101), np.uint8(161), np.uint8(146))</t>
  </si>
  <si>
    <t>(np.uint8(25), np.uint8(46), np.uint8(39))</t>
  </si>
  <si>
    <t>(np.uint8(152), np.uint8(215), np.uint8(201))</t>
  </si>
  <si>
    <t>(np.uint8(68), np.uint8(99), np.uint8(90))</t>
  </si>
  <si>
    <t>(np.uint8(32), np.uint8(84), np.uint8(72))</t>
  </si>
  <si>
    <t>(np.uint8(87), np.uint8(184), np.uint8(167))</t>
  </si>
  <si>
    <t>(np.uint8(55), np.uint8(133), np.uint8(113))</t>
  </si>
  <si>
    <t>(np.uint8(98), np.uint8(199), np.uint8(184))</t>
  </si>
  <si>
    <t>(np.uint8(20), np.uint8(56), np.uint8(50))</t>
  </si>
  <si>
    <t>(np.uint8(56), np.uint8(127), np.uint8(107))</t>
  </si>
  <si>
    <t>(np.uint8(18), np.uint8(53), np.uint8(48))</t>
  </si>
  <si>
    <t>(np.uint8(61), np.uint8(192), np.uint8(175))</t>
  </si>
  <si>
    <t>(np.uint8(144), np.uint8(201), np.uint8(187))</t>
  </si>
  <si>
    <t>(np.uint8(67), np.uint8(80), np.uint8(81))</t>
  </si>
  <si>
    <t>(np.uint8(119), np.uint8(183), np.uint8(177))</t>
  </si>
  <si>
    <t>(np.uint8(96), np.uint8(127), np.uint8(122))</t>
  </si>
  <si>
    <t>(np.uint8(51), np.uint8(61), np.uint8(63))</t>
  </si>
  <si>
    <t>(np.uint8(126), np.uint8(201), np.uint8(196))</t>
  </si>
  <si>
    <t>(np.uint8(124), np.uint8(184), np.uint8(169))</t>
  </si>
  <si>
    <t>(np.uint8(45), np.uint8(71), np.uint8(63))</t>
  </si>
  <si>
    <t>fifth-2</t>
    <phoneticPr fontId="1" type="noConversion"/>
  </si>
  <si>
    <t>fifth-3</t>
    <phoneticPr fontId="1" type="noConversion"/>
  </si>
  <si>
    <t>(np.uint8(103), np.uint8(156), np.uint8(146))</t>
  </si>
  <si>
    <t>(np.uint8(36), np.uint8(48), np.uint8(51))</t>
  </si>
  <si>
    <t>(np.uint8(85), np.uint8(96), np.uint8(96))</t>
  </si>
  <si>
    <t>(np.uint8(132), np.uint8(208), np.uint8(206))</t>
  </si>
  <si>
    <t>second-3</t>
    <phoneticPr fontId="1" type="noConversion"/>
  </si>
  <si>
    <t>second-4</t>
    <phoneticPr fontId="1" type="noConversion"/>
  </si>
  <si>
    <t>third-3</t>
    <phoneticPr fontId="1" type="noConversion"/>
  </si>
  <si>
    <t>third-4</t>
    <phoneticPr fontId="1" type="noConversion"/>
  </si>
  <si>
    <t>fourth-3</t>
    <phoneticPr fontId="1" type="noConversion"/>
  </si>
  <si>
    <t>fourth-4</t>
    <phoneticPr fontId="1" type="noConversion"/>
  </si>
  <si>
    <t>fifth-4</t>
    <phoneticPr fontId="1" type="noConversion"/>
  </si>
  <si>
    <t>(np.uint8(82), np.uint8(188), np.uint8(160))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</si>
</sst>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52BCA0"/>
        <bgColor indexed="64"/>
      </patternFill>
    </fill>
    <fill>
      <patternFill patternType="solid">
        <fgColor rgb="FF1B4A3D"/>
        <bgColor indexed="64"/>
      </patternFill>
    </fill>
    <fill>
      <patternFill patternType="solid">
        <fgColor rgb="FF7CB8A9"/>
        <bgColor indexed="64"/>
      </patternFill>
    </fill>
    <fill>
      <patternFill patternType="solid">
        <fgColor rgb="FF2D473F"/>
        <bgColor indexed="64"/>
      </patternFill>
    </fill>
    <fill>
      <patternFill patternType="solid">
        <fgColor rgb="FF223831"/>
        <bgColor indexed="64"/>
      </patternFill>
    </fill>
    <fill>
      <patternFill patternType="solid">
        <fgColor rgb="FF57857A"/>
        <bgColor indexed="64"/>
      </patternFill>
    </fill>
    <fill>
      <patternFill patternType="solid">
        <fgColor rgb="FF8ECFC0"/>
        <bgColor indexed="64"/>
      </patternFill>
    </fill>
    <fill>
      <patternFill patternType="solid">
        <fgColor rgb="FF65A192"/>
        <bgColor indexed="64"/>
      </patternFill>
    </fill>
    <fill>
      <patternFill patternType="solid">
        <fgColor rgb="FF192E27"/>
        <bgColor indexed="64"/>
      </patternFill>
    </fill>
    <fill>
      <patternFill patternType="solid">
        <fgColor rgb="FF98D7C9"/>
        <bgColor indexed="64"/>
      </patternFill>
    </fill>
    <fill>
      <patternFill patternType="solid">
        <fgColor rgb="FF44635A"/>
        <bgColor indexed="64"/>
      </patternFill>
    </fill>
    <fill>
      <patternFill patternType="solid">
        <fgColor rgb="FF435051"/>
        <bgColor indexed="64"/>
      </patternFill>
    </fill>
    <fill>
      <patternFill patternType="solid">
        <fgColor rgb="FF77B7B1"/>
        <bgColor indexed="64"/>
      </patternFill>
    </fill>
    <fill>
      <patternFill patternType="solid">
        <fgColor rgb="FF607F7A"/>
        <bgColor indexed="64"/>
      </patternFill>
    </fill>
    <fill>
      <patternFill patternType="solid">
        <fgColor rgb="FF333D3F"/>
        <bgColor indexed="64"/>
      </patternFill>
    </fill>
    <fill>
      <patternFill patternType="solid">
        <fgColor rgb="FF7EC9C4"/>
        <bgColor indexed="64"/>
      </patternFill>
    </fill>
    <fill>
      <patternFill patternType="solid">
        <fgColor rgb="FF679C92"/>
        <bgColor indexed="64"/>
      </patternFill>
    </fill>
    <fill>
      <patternFill patternType="solid">
        <fgColor rgb="FF243033"/>
        <bgColor indexed="64"/>
      </patternFill>
    </fill>
    <fill>
      <patternFill patternType="solid">
        <fgColor rgb="FF556060"/>
        <bgColor indexed="64"/>
      </patternFill>
    </fill>
    <fill>
      <patternFill patternType="solid">
        <fgColor rgb="FF84D0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0" fillId="8" borderId="0" xfId="0" applyFill="1">
      <alignment vertical="center"/>
    </xf>
    <xf numFmtId="0" fontId="0" fillId="9" borderId="0" xfId="0" applyFill="1">
      <alignment vertical="center"/>
    </xf>
    <xf numFmtId="0" fontId="0" fillId="10" borderId="0" xfId="0" applyFill="1">
      <alignment vertical="center"/>
    </xf>
    <xf numFmtId="0" fontId="0" fillId="11" borderId="0" xfId="0" applyFill="1">
      <alignment vertical="center"/>
    </xf>
    <xf numFmtId="0" fontId="0" fillId="12" borderId="0" xfId="0" applyFill="1">
      <alignment vertical="center"/>
    </xf>
    <xf numFmtId="0" fontId="0" fillId="13" borderId="0" xfId="0" applyFill="1">
      <alignment vertical="center"/>
    </xf>
    <xf numFmtId="0" fontId="0" fillId="14" borderId="0" xfId="0" applyFill="1">
      <alignment vertical="center"/>
    </xf>
    <xf numFmtId="0" fontId="0" fillId="15" borderId="0" xfId="0" applyFill="1">
      <alignment vertical="center"/>
    </xf>
    <xf numFmtId="0" fontId="0" fillId="16" borderId="0" xfId="0" applyFill="1">
      <alignment vertical="center"/>
    </xf>
    <xf numFmtId="0" fontId="0" fillId="17" borderId="0" xfId="0" applyFill="1">
      <alignment vertical="center"/>
    </xf>
    <xf numFmtId="0" fontId="0" fillId="18" borderId="0" xfId="0" applyFill="1">
      <alignment vertical="center"/>
    </xf>
    <xf numFmtId="0" fontId="0" fillId="19" borderId="0" xfId="0" applyFill="1">
      <alignment vertical="center"/>
    </xf>
    <xf numFmtId="0" fontId="0" fillId="20" borderId="0" xfId="0" applyFill="1">
      <alignment vertical="center"/>
    </xf>
    <xf numFmtId="0" fontId="0" fillId="21" borderId="0" xfId="0" applyFill="1">
      <alignment vertical="center"/>
    </xf>
    <xf numFmtId="0" fontId="0" fillId="22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84D0CE"/>
      <color rgb="FF556060"/>
      <color rgb="FF243033"/>
      <color rgb="FF679C92"/>
      <color rgb="FF7EC9C4"/>
      <color rgb="FF333D3F"/>
      <color rgb="FF607F7A"/>
      <color rgb="FF77B7B1"/>
      <color rgb="FF435051"/>
      <color rgb="FF44635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95F1A-D9DC-474C-8975-1F39AEFA018F}">
  <dimension ref="B2:Q22"/>
  <sheetViews>
    <sheetView tabSelected="1" topLeftCell="B1" zoomScale="85" zoomScaleNormal="85" workbookViewId="0">
      <selection activeCell="J29" sqref="J29"/>
    </sheetView>
  </sheetViews>
  <sheetFormatPr defaultRowHeight="17" x14ac:dyDescent="0.45"/>
  <cols>
    <col min="2" max="2" width="9.83203125" bestFit="1" customWidth="1"/>
    <col min="4" max="4" width="40.58203125" customWidth="1"/>
    <col min="10" max="10" width="40.58203125" customWidth="1"/>
    <col min="16" max="16" width="40.58203125" customWidth="1"/>
  </cols>
  <sheetData>
    <row r="2" spans="2:17" x14ac:dyDescent="0.45">
      <c r="B2" s="1" t="s">
        <v>0</v>
      </c>
      <c r="C2" t="s">
        <v>1</v>
      </c>
      <c r="D2" s="3" t="s">
        <v>63</v>
      </c>
      <c r="E2">
        <v>5754031</v>
      </c>
      <c r="F2">
        <f>E2/(E2+E3)</f>
        <v>0.56191708984375</v>
      </c>
      <c r="H2" t="s">
        <v>6</v>
      </c>
      <c r="I2" t="s">
        <v>1</v>
      </c>
      <c r="J2" t="s">
        <v>21</v>
      </c>
      <c r="K2">
        <v>3984331</v>
      </c>
      <c r="N2" t="s">
        <v>7</v>
      </c>
      <c r="O2" t="s">
        <v>1</v>
      </c>
      <c r="P2" s="5" t="s">
        <v>48</v>
      </c>
      <c r="Q2">
        <v>4927107</v>
      </c>
    </row>
    <row r="3" spans="2:17" x14ac:dyDescent="0.45">
      <c r="C3" t="s">
        <v>2</v>
      </c>
      <c r="D3" s="4" t="s">
        <v>3</v>
      </c>
      <c r="E3">
        <v>4485969</v>
      </c>
      <c r="F3">
        <f>E3/(E2+E3)</f>
        <v>0.43808291015625</v>
      </c>
      <c r="I3" t="s">
        <v>2</v>
      </c>
      <c r="J3" t="s">
        <v>22</v>
      </c>
      <c r="K3">
        <v>6255669</v>
      </c>
      <c r="O3" t="s">
        <v>2</v>
      </c>
      <c r="P3" s="6" t="s">
        <v>49</v>
      </c>
      <c r="Q3">
        <v>5312893</v>
      </c>
    </row>
    <row r="4" spans="2:17" x14ac:dyDescent="0.45">
      <c r="B4" t="s">
        <v>4</v>
      </c>
      <c r="C4" t="s">
        <v>1</v>
      </c>
      <c r="D4" t="s">
        <v>9</v>
      </c>
      <c r="E4">
        <v>2810652</v>
      </c>
      <c r="F4">
        <f>E4/SUM(E4:E6)</f>
        <v>0.274477734375</v>
      </c>
      <c r="H4" t="s">
        <v>56</v>
      </c>
      <c r="I4" t="s">
        <v>1</v>
      </c>
      <c r="J4" t="s">
        <v>23</v>
      </c>
      <c r="K4">
        <v>2370190</v>
      </c>
      <c r="N4" t="s">
        <v>58</v>
      </c>
      <c r="O4" t="s">
        <v>1</v>
      </c>
      <c r="P4" s="7" t="s">
        <v>13</v>
      </c>
      <c r="Q4">
        <v>3810641</v>
      </c>
    </row>
    <row r="5" spans="2:17" x14ac:dyDescent="0.45">
      <c r="C5" t="s">
        <v>2</v>
      </c>
      <c r="D5" t="s">
        <v>10</v>
      </c>
      <c r="E5">
        <v>3747681</v>
      </c>
      <c r="F5">
        <f>E5/SUM(E4:E6)</f>
        <v>0.36598447265625</v>
      </c>
      <c r="I5" t="s">
        <v>2</v>
      </c>
      <c r="J5" t="s">
        <v>24</v>
      </c>
      <c r="K5">
        <v>4666955</v>
      </c>
      <c r="O5" t="s">
        <v>2</v>
      </c>
      <c r="P5" s="8" t="s">
        <v>14</v>
      </c>
      <c r="Q5">
        <v>3482193</v>
      </c>
    </row>
    <row r="6" spans="2:17" x14ac:dyDescent="0.45">
      <c r="C6" t="s">
        <v>11</v>
      </c>
      <c r="D6" t="s">
        <v>12</v>
      </c>
      <c r="E6">
        <v>3681667</v>
      </c>
      <c r="F6">
        <f>E6/SUM(E4:E6)</f>
        <v>0.35953779296874999</v>
      </c>
      <c r="I6" t="s">
        <v>11</v>
      </c>
      <c r="J6" t="s">
        <v>25</v>
      </c>
      <c r="K6">
        <v>3202855</v>
      </c>
      <c r="O6" t="s">
        <v>11</v>
      </c>
      <c r="P6" s="9" t="s">
        <v>15</v>
      </c>
      <c r="Q6">
        <v>2947166</v>
      </c>
    </row>
    <row r="7" spans="2:17" x14ac:dyDescent="0.45">
      <c r="B7" t="s">
        <v>5</v>
      </c>
      <c r="C7" t="s">
        <v>1</v>
      </c>
      <c r="D7" t="s">
        <v>16</v>
      </c>
      <c r="E7">
        <v>3219549</v>
      </c>
      <c r="F7">
        <f>E7/SUM(E7:E10)</f>
        <v>0.31440908203125001</v>
      </c>
      <c r="H7" t="s">
        <v>57</v>
      </c>
      <c r="I7" t="s">
        <v>1</v>
      </c>
      <c r="J7" t="s">
        <v>26</v>
      </c>
      <c r="K7">
        <v>2527757</v>
      </c>
      <c r="N7" t="s">
        <v>59</v>
      </c>
      <c r="O7" t="s">
        <v>1</v>
      </c>
      <c r="P7" s="10" t="s">
        <v>30</v>
      </c>
      <c r="Q7">
        <v>2697958</v>
      </c>
    </row>
    <row r="8" spans="2:17" x14ac:dyDescent="0.45">
      <c r="C8" t="s">
        <v>2</v>
      </c>
      <c r="D8" t="s">
        <v>17</v>
      </c>
      <c r="E8">
        <v>2327330</v>
      </c>
      <c r="F8">
        <f>E8/SUM(E7:E10)</f>
        <v>0.2272783203125</v>
      </c>
      <c r="I8" t="s">
        <v>2</v>
      </c>
      <c r="J8" t="s">
        <v>27</v>
      </c>
      <c r="K8">
        <v>1877277</v>
      </c>
      <c r="O8" t="s">
        <v>2</v>
      </c>
      <c r="P8" s="11" t="s">
        <v>31</v>
      </c>
      <c r="Q8">
        <v>2759222</v>
      </c>
    </row>
    <row r="9" spans="2:17" x14ac:dyDescent="0.45">
      <c r="C9" t="s">
        <v>11</v>
      </c>
      <c r="D9" t="s">
        <v>18</v>
      </c>
      <c r="E9">
        <v>2879447</v>
      </c>
      <c r="F9">
        <f>E9/SUM(E7:E10)</f>
        <v>0.28119599609375001</v>
      </c>
      <c r="I9" t="s">
        <v>11</v>
      </c>
      <c r="J9" t="s">
        <v>28</v>
      </c>
      <c r="K9">
        <v>3450528</v>
      </c>
      <c r="O9" t="s">
        <v>11</v>
      </c>
      <c r="P9" s="12" t="s">
        <v>32</v>
      </c>
      <c r="Q9">
        <v>2148603</v>
      </c>
    </row>
    <row r="10" spans="2:17" x14ac:dyDescent="0.45">
      <c r="C10" t="s">
        <v>19</v>
      </c>
      <c r="D10" t="s">
        <v>20</v>
      </c>
      <c r="E10">
        <v>1813674</v>
      </c>
      <c r="F10">
        <f>E10/SUM(E7:E10)</f>
        <v>0.1771166015625</v>
      </c>
      <c r="I10" t="s">
        <v>19</v>
      </c>
      <c r="J10" t="s">
        <v>29</v>
      </c>
      <c r="K10">
        <v>2384438</v>
      </c>
      <c r="O10" t="s">
        <v>19</v>
      </c>
      <c r="P10" s="13" t="s">
        <v>33</v>
      </c>
      <c r="Q10">
        <v>2634217</v>
      </c>
    </row>
    <row r="14" spans="2:17" x14ac:dyDescent="0.45">
      <c r="B14" t="s">
        <v>8</v>
      </c>
      <c r="C14" t="s">
        <v>1</v>
      </c>
      <c r="D14" t="s">
        <v>34</v>
      </c>
      <c r="E14">
        <v>4920579</v>
      </c>
      <c r="H14" t="s">
        <v>50</v>
      </c>
      <c r="I14" t="s">
        <v>1</v>
      </c>
      <c r="J14" s="14" t="s">
        <v>43</v>
      </c>
      <c r="K14">
        <v>5528720</v>
      </c>
    </row>
    <row r="15" spans="2:17" x14ac:dyDescent="0.45">
      <c r="C15" t="s">
        <v>2</v>
      </c>
      <c r="D15" t="s">
        <v>35</v>
      </c>
      <c r="E15">
        <v>5319421</v>
      </c>
      <c r="I15" t="s">
        <v>2</v>
      </c>
      <c r="J15" s="15" t="s">
        <v>44</v>
      </c>
      <c r="K15">
        <v>4711280</v>
      </c>
    </row>
    <row r="16" spans="2:17" x14ac:dyDescent="0.45">
      <c r="B16" s="2" t="s">
        <v>60</v>
      </c>
      <c r="C16" s="2" t="s">
        <v>1</v>
      </c>
      <c r="D16" s="2" t="s">
        <v>36</v>
      </c>
      <c r="E16" s="2">
        <v>3967644</v>
      </c>
      <c r="H16" t="s">
        <v>51</v>
      </c>
      <c r="I16" t="s">
        <v>1</v>
      </c>
      <c r="J16" s="16" t="s">
        <v>45</v>
      </c>
      <c r="K16">
        <v>3840745</v>
      </c>
    </row>
    <row r="17" spans="2:11" x14ac:dyDescent="0.45">
      <c r="B17" s="2"/>
      <c r="C17" s="2" t="s">
        <v>2</v>
      </c>
      <c r="D17" s="2" t="s">
        <v>37</v>
      </c>
      <c r="E17" s="2">
        <v>3561773</v>
      </c>
      <c r="I17" t="s">
        <v>2</v>
      </c>
      <c r="J17" s="17" t="s">
        <v>46</v>
      </c>
      <c r="K17">
        <v>3295023</v>
      </c>
    </row>
    <row r="18" spans="2:11" x14ac:dyDescent="0.45">
      <c r="B18" s="2"/>
      <c r="C18" s="2" t="s">
        <v>11</v>
      </c>
      <c r="D18" s="2" t="s">
        <v>38</v>
      </c>
      <c r="E18" s="2">
        <v>2710583</v>
      </c>
      <c r="I18" t="s">
        <v>11</v>
      </c>
      <c r="J18" s="18" t="s">
        <v>47</v>
      </c>
      <c r="K18">
        <v>3104232</v>
      </c>
    </row>
    <row r="19" spans="2:11" x14ac:dyDescent="0.45">
      <c r="B19" t="s">
        <v>61</v>
      </c>
      <c r="C19" t="s">
        <v>1</v>
      </c>
      <c r="D19" t="s">
        <v>39</v>
      </c>
      <c r="E19">
        <v>3660277</v>
      </c>
      <c r="H19" t="s">
        <v>62</v>
      </c>
      <c r="I19" t="s">
        <v>1</v>
      </c>
      <c r="J19" s="19" t="s">
        <v>52</v>
      </c>
      <c r="K19">
        <v>2630791</v>
      </c>
    </row>
    <row r="20" spans="2:11" x14ac:dyDescent="0.45">
      <c r="C20" t="s">
        <v>2</v>
      </c>
      <c r="D20" t="s">
        <v>40</v>
      </c>
      <c r="E20">
        <v>2544387</v>
      </c>
      <c r="I20" t="s">
        <v>2</v>
      </c>
      <c r="J20" s="20" t="s">
        <v>53</v>
      </c>
      <c r="K20">
        <v>2013430</v>
      </c>
    </row>
    <row r="21" spans="2:11" x14ac:dyDescent="0.45">
      <c r="C21" t="s">
        <v>11</v>
      </c>
      <c r="D21" t="s">
        <v>41</v>
      </c>
      <c r="E21">
        <v>2566518</v>
      </c>
      <c r="I21" t="s">
        <v>11</v>
      </c>
      <c r="J21" s="21" t="s">
        <v>54</v>
      </c>
      <c r="K21">
        <v>3217356</v>
      </c>
    </row>
    <row r="22" spans="2:11" x14ac:dyDescent="0.45">
      <c r="C22" t="s">
        <v>19</v>
      </c>
      <c r="D22" t="s">
        <v>42</v>
      </c>
      <c r="E22">
        <v>1468818</v>
      </c>
      <c r="I22" t="s">
        <v>19</v>
      </c>
      <c r="J22" s="22" t="s">
        <v>55</v>
      </c>
      <c r="K22">
        <v>2378423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katias</dc:creator>
  <cp:lastModifiedBy>수민 홍</cp:lastModifiedBy>
  <dcterms:created xsi:type="dcterms:W3CDTF">2025-10-01T01:22:41Z</dcterms:created>
  <dcterms:modified xsi:type="dcterms:W3CDTF">2025-10-01T02:06:28Z</dcterms:modified>
</cp:coreProperties>
</file>